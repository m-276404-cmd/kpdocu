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KP\CUST ALIAH\SAT - ANM DESIGN&amp;BUILD\"/>
    </mc:Choice>
  </mc:AlternateContent>
  <xr:revisionPtr revIDLastSave="0" documentId="13_ncr:1_{4E4E5FC8-829C-4A06-BE06-A786D012EDCD}" xr6:coauthVersionLast="47" xr6:coauthVersionMax="47" xr10:uidLastSave="{00000000-0000-0000-0000-000000000000}"/>
  <bookViews>
    <workbookView xWindow="-120" yWindow="-120" windowWidth="20730" windowHeight="11160" firstSheet="2" activeTab="2" xr2:uid="{87EBCA0B-D5BC-4369-86C0-066D8B2CC1AE}"/>
  </bookViews>
  <sheets>
    <sheet name="MAKLUMAT ASAS" sheetId="1" r:id="rId1"/>
    <sheet name="LEJAR" sheetId="2" r:id="rId2"/>
    <sheet name="PNL" sheetId="3" r:id="rId3"/>
    <sheet name="KUNCI KIRA KIRA" sheetId="4" r:id="rId4"/>
  </sheets>
  <definedNames>
    <definedName name="_xlnm.Print_Area" localSheetId="3">'KUNCI KIRA KIRA'!$A$1:$N$47</definedName>
    <definedName name="_xlnm.Print_Area" localSheetId="1">LEJAR!$A$1:$K$38</definedName>
    <definedName name="_xlnm.Print_Area" localSheetId="2">PNL!$A$1:$F$58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4" l="1"/>
  <c r="J23" i="4"/>
  <c r="L18" i="4"/>
  <c r="N18" i="4" s="1"/>
  <c r="L17" i="4"/>
  <c r="N17" i="4" s="1"/>
  <c r="L16" i="4"/>
  <c r="L15" i="4"/>
  <c r="N15" i="4" s="1"/>
  <c r="A4" i="4"/>
  <c r="A1" i="4"/>
  <c r="B43" i="3"/>
  <c r="B42" i="3"/>
  <c r="B41" i="3"/>
  <c r="B40" i="3"/>
  <c r="B39" i="3"/>
  <c r="B38" i="3"/>
  <c r="B37" i="3"/>
  <c r="B36" i="3"/>
  <c r="B35" i="3"/>
  <c r="B34" i="3"/>
  <c r="B33" i="3"/>
  <c r="A2" i="3"/>
  <c r="A1" i="3"/>
  <c r="H38" i="2"/>
  <c r="B27" i="3" s="1"/>
  <c r="G38" i="2"/>
  <c r="B28" i="3" s="1"/>
  <c r="F38" i="2"/>
  <c r="B44" i="3" s="1"/>
  <c r="E38" i="2"/>
  <c r="B29" i="3" s="1"/>
  <c r="D38" i="2"/>
  <c r="B26" i="3" s="1"/>
  <c r="D30" i="3" s="1"/>
  <c r="C38" i="2"/>
  <c r="I22" i="2"/>
  <c r="B52" i="3" s="1"/>
  <c r="I21" i="2"/>
  <c r="B51" i="3" s="1"/>
  <c r="G17" i="2"/>
  <c r="G16" i="2"/>
  <c r="G15" i="2"/>
  <c r="G14" i="2"/>
  <c r="G13" i="2"/>
  <c r="G12" i="2"/>
  <c r="G11" i="2"/>
  <c r="G10" i="2"/>
  <c r="G9" i="2"/>
  <c r="G8" i="2"/>
  <c r="G7" i="2"/>
  <c r="G6" i="2"/>
  <c r="G19" i="2" s="1"/>
  <c r="F8" i="3" s="1"/>
  <c r="B12" i="3" l="1"/>
  <c r="F17" i="3" s="1"/>
  <c r="F22" i="3" s="1"/>
  <c r="I38" i="2"/>
  <c r="D45" i="3"/>
  <c r="D47" i="3" s="1"/>
  <c r="L23" i="4"/>
  <c r="N16" i="4"/>
  <c r="N23" i="4" s="1"/>
  <c r="L31" i="4" s="1"/>
  <c r="F49" i="3" l="1"/>
  <c r="D15" i="4" l="1"/>
  <c r="F53" i="3"/>
  <c r="E17" i="4" l="1"/>
  <c r="E18" i="4" s="1"/>
  <c r="E31" i="4" s="1"/>
  <c r="D16" i="4"/>
</calcChain>
</file>

<file path=xl/sharedStrings.xml><?xml version="1.0" encoding="utf-8"?>
<sst xmlns="http://schemas.openxmlformats.org/spreadsheetml/2006/main" count="178" uniqueCount="155">
  <si>
    <t>MAKLUMAT PEMILIK PERNIAGAAN</t>
  </si>
  <si>
    <t>NAMA</t>
  </si>
  <si>
    <t>NUR SHUHAIRULNADWA BINTI AHMAD</t>
  </si>
  <si>
    <t>IC</t>
  </si>
  <si>
    <t>ALAMAT</t>
  </si>
  <si>
    <t>113 A JALAN MAKAM DIRAJA LANGGAR</t>
  </si>
  <si>
    <t>06500 ALOR SETAR,KEDAH</t>
  </si>
  <si>
    <t>NO PENDAFTARAN PERNIAGAAN</t>
  </si>
  <si>
    <t>202303144031 (TR0285527-D)</t>
  </si>
  <si>
    <t>NAMA SYARIKAT</t>
  </si>
  <si>
    <t>ANM DESIGN &amp; BUILD</t>
  </si>
  <si>
    <t>E-MEL</t>
  </si>
  <si>
    <t>anmdesignbuild@yahoo.com</t>
  </si>
  <si>
    <t>NAMA FAIL</t>
  </si>
  <si>
    <t>NO TELEFON</t>
  </si>
  <si>
    <t>0109128131</t>
  </si>
  <si>
    <t>IC IBU</t>
  </si>
  <si>
    <t>580703025866</t>
  </si>
  <si>
    <t>IC BAPA</t>
  </si>
  <si>
    <t>590524085053</t>
  </si>
  <si>
    <t>KOD AKTIVITI PERNIAGAAN</t>
  </si>
  <si>
    <t>85491 pusat tuisyen</t>
  </si>
  <si>
    <t>INSURA NYAWA</t>
  </si>
  <si>
    <t>166 sebulan</t>
  </si>
  <si>
    <t>INSURAN HIBAH</t>
  </si>
  <si>
    <t xml:space="preserve">200 sebulan </t>
  </si>
  <si>
    <t>BUKU</t>
  </si>
  <si>
    <t>50 sebulan</t>
  </si>
  <si>
    <t>INTERNET</t>
  </si>
  <si>
    <t>80 sebulan</t>
  </si>
  <si>
    <t>EMAIL</t>
  </si>
  <si>
    <t>izharulkhairi2gmail.com</t>
  </si>
  <si>
    <t>BANK</t>
  </si>
  <si>
    <t>CIMB  8601911673</t>
  </si>
  <si>
    <t>PENDAPATAN 2024</t>
  </si>
  <si>
    <t>PERKARA</t>
  </si>
  <si>
    <t xml:space="preserve">JUALAN ATAU PEROLEHAN </t>
  </si>
  <si>
    <t>Jumlah</t>
  </si>
  <si>
    <t>Bulan</t>
  </si>
  <si>
    <t>Januari</t>
  </si>
  <si>
    <t>Februari</t>
  </si>
  <si>
    <t>Mac</t>
  </si>
  <si>
    <t>April</t>
  </si>
  <si>
    <t>Mei</t>
  </si>
  <si>
    <t>Jun</t>
  </si>
  <si>
    <t>Julai</t>
  </si>
  <si>
    <t>Ogos</t>
  </si>
  <si>
    <t>September</t>
  </si>
  <si>
    <t>Oktober</t>
  </si>
  <si>
    <t>November</t>
  </si>
  <si>
    <t>Disember</t>
  </si>
  <si>
    <t>JUMLAH</t>
  </si>
  <si>
    <t>PERBELANJAAN 2024</t>
  </si>
  <si>
    <t>Perbelanjaan Tidak dibenarkan</t>
  </si>
  <si>
    <t>Perbelanjaan Ditambah Semula</t>
  </si>
  <si>
    <t xml:space="preserve"> Modal Kerja</t>
  </si>
  <si>
    <t>Gaji &amp; elaun pekerja</t>
  </si>
  <si>
    <t>Penyelenggaraan</t>
  </si>
  <si>
    <t>Komisyen lain</t>
  </si>
  <si>
    <t>Perjalanan &amp; Pengangkutan</t>
  </si>
  <si>
    <t>Sewaan</t>
  </si>
  <si>
    <t>Lain-lain</t>
  </si>
  <si>
    <t>Catatan</t>
  </si>
  <si>
    <t>Jan</t>
  </si>
  <si>
    <t>Telefon &amp;internet(tahunan)</t>
  </si>
  <si>
    <t>Feb</t>
  </si>
  <si>
    <t>Caj Perakaunan(tahunan)</t>
  </si>
  <si>
    <t xml:space="preserve"> Promosi dan iklan( tahunan)</t>
  </si>
  <si>
    <t>Alatan pejabat (tahunan)</t>
  </si>
  <si>
    <t>Lesen,ssm(tahunan)</t>
  </si>
  <si>
    <t>Pos dan runner(tahunan)</t>
  </si>
  <si>
    <t>Fotostat &amp; Alatulis(tahunan)</t>
  </si>
  <si>
    <t>Penginapan(tahunan)</t>
  </si>
  <si>
    <t>Caj bank(tahunan)</t>
  </si>
  <si>
    <t>Program CSR (tahunan)</t>
  </si>
  <si>
    <t>Utiliti(tahunan)</t>
  </si>
  <si>
    <t xml:space="preserve"> Lain-lain( tahunan)</t>
  </si>
  <si>
    <t xml:space="preserve">Jumlah Besar Perbelanjaan </t>
  </si>
  <si>
    <t>PENYATA  UNTUNG RUGI BAGI TAHUN</t>
  </si>
  <si>
    <t>BERAKHIR PADA 31-12-2024</t>
  </si>
  <si>
    <t>PENDAPATAN :</t>
  </si>
  <si>
    <t xml:space="preserve"> RM</t>
  </si>
  <si>
    <t xml:space="preserve"> </t>
  </si>
  <si>
    <t>RM</t>
  </si>
  <si>
    <t>PENDAPATAN KASAR</t>
  </si>
  <si>
    <r>
      <t xml:space="preserve">Tolak :   </t>
    </r>
    <r>
      <rPr>
        <b/>
        <u/>
        <sz val="12"/>
        <rFont val="Bookman Old Style"/>
        <family val="1"/>
      </rPr>
      <t xml:space="preserve"> KOS BARANG JUALAN</t>
    </r>
  </si>
  <si>
    <t>Stok awal</t>
  </si>
  <si>
    <t>Belian dan kos pengeluaran</t>
  </si>
  <si>
    <t xml:space="preserve"> Stok akhir</t>
  </si>
  <si>
    <t>Kos barang dijual</t>
  </si>
  <si>
    <t>UNTUNG KASAR</t>
  </si>
  <si>
    <t xml:space="preserve">PENDAPATAN LAIN: </t>
  </si>
  <si>
    <t>PENDAPATAN TAMBAHAN</t>
  </si>
  <si>
    <t>JUMLAH PENDAPATAN</t>
  </si>
  <si>
    <r>
      <t xml:space="preserve">Tolak    :   </t>
    </r>
    <r>
      <rPr>
        <b/>
        <u/>
        <sz val="12"/>
        <rFont val="Bookman Old Style"/>
        <family val="1"/>
      </rPr>
      <t>PERBELANJAAN</t>
    </r>
  </si>
  <si>
    <t>Gaji/elaun</t>
  </si>
  <si>
    <t>Perjalanan dan pengangkutan</t>
  </si>
  <si>
    <t>Jumlah Perbelanjaan</t>
  </si>
  <si>
    <t>Lain-lain perbelanjaan</t>
  </si>
  <si>
    <t>Telefon dan Internet</t>
  </si>
  <si>
    <t>Caj perakaunan</t>
  </si>
  <si>
    <t>Promosi dan iklan</t>
  </si>
  <si>
    <t>Alatan pejabat</t>
  </si>
  <si>
    <t>Cukai Pintu/SSM</t>
  </si>
  <si>
    <t>Pos &amp; Runner</t>
  </si>
  <si>
    <t>Fotostat dan Alatulis</t>
  </si>
  <si>
    <t>Penginapan</t>
  </si>
  <si>
    <t>Program CSR</t>
  </si>
  <si>
    <t>Caj Bank</t>
  </si>
  <si>
    <t>Utiliti</t>
  </si>
  <si>
    <t>Lain-lain &amp; Subkontrak</t>
  </si>
  <si>
    <t>Jumlah lain-lain perbelanjaan</t>
  </si>
  <si>
    <t>Jumlah Perbelanjaan Keseluruhan</t>
  </si>
  <si>
    <t>UNTUNG BERSIH</t>
  </si>
  <si>
    <t>PERBELANJAAN TIDAK DIBENARKAN</t>
  </si>
  <si>
    <t>PERBELANJAAN DITAMBAH SEMULA</t>
  </si>
  <si>
    <t xml:space="preserve"> PENDAPATAN BERKANUN 2024</t>
  </si>
  <si>
    <t>KUNCI KIRA-KIRA BAGI TAHUN BERAKHIR</t>
  </si>
  <si>
    <t>PADA 31-31.12.2024</t>
  </si>
  <si>
    <t>TANGGUNGAN.</t>
  </si>
  <si>
    <t>MODAL PERMULAAN</t>
  </si>
  <si>
    <t>MODAL TAMBAHAN</t>
  </si>
  <si>
    <t>PENYATA UNTUNG RUGI :</t>
  </si>
  <si>
    <t>ASET-ASET HARTA TETAP :</t>
  </si>
  <si>
    <t>%</t>
  </si>
  <si>
    <t>nilai pada</t>
  </si>
  <si>
    <t>susut nilai</t>
  </si>
  <si>
    <t>Nilai pada</t>
  </si>
  <si>
    <t>Baki bawa hadapan</t>
  </si>
  <si>
    <t>1.1.2024</t>
  </si>
  <si>
    <t>31.12.2024</t>
  </si>
  <si>
    <t>Campur Untung</t>
  </si>
  <si>
    <t>Tanah &amp; bangunan</t>
  </si>
  <si>
    <t>Loji &amp; Jentera</t>
  </si>
  <si>
    <t>Tolak Ambilan</t>
  </si>
  <si>
    <t xml:space="preserve">Kenderaan </t>
  </si>
  <si>
    <t>Pendapatan</t>
  </si>
  <si>
    <t>Aset tetap lain</t>
  </si>
  <si>
    <t>ASET SEMASA :</t>
  </si>
  <si>
    <t>LIABILITI</t>
  </si>
  <si>
    <t>Stok</t>
  </si>
  <si>
    <t>Pemiutang</t>
  </si>
  <si>
    <t>Penghutang Dagangan</t>
  </si>
  <si>
    <t>Deposit diterima</t>
  </si>
  <si>
    <t>Penghutang lain</t>
  </si>
  <si>
    <t>pinjaman</t>
  </si>
  <si>
    <t>Baki Tunai</t>
  </si>
  <si>
    <t>overdraft bank</t>
  </si>
  <si>
    <t>Baki dalam bank</t>
  </si>
  <si>
    <t>Aset semasa lain</t>
  </si>
  <si>
    <t>SAYA SAHKAN BAHAWA PENYATA UNTUNG RUGI DAN KUNCI KIRA-KIRA YANG DI BUAT</t>
  </si>
  <si>
    <t>BAGI SYARIKAT A UNTUK TAHUN BERAKHIR PADA 31-12-2024</t>
  </si>
  <si>
    <t>ADALAH BETUL DAN BENAR.</t>
  </si>
  <si>
    <t>TANDATANGAN YANG MEMBUAT PENYATA</t>
  </si>
  <si>
    <t>PENYATA KEWANGAN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</si>
</sst>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(* #,##0.0_);_(* \(#,##0.0\);_(* &quot;-&quot;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Arial Rounded MT Bold"/>
      <family val="2"/>
    </font>
    <font>
      <b/>
      <sz val="12"/>
      <name val="Bookman Old Style"/>
      <family val="1"/>
    </font>
    <font>
      <sz val="12"/>
      <name val="Bookman Old Style"/>
      <family val="1"/>
    </font>
    <font>
      <sz val="10"/>
      <name val="Bookman Old Style"/>
      <family val="1"/>
    </font>
    <font>
      <b/>
      <u/>
      <sz val="12"/>
      <name val="Bookman Old Style"/>
      <family val="1"/>
    </font>
    <font>
      <b/>
      <u val="singleAccounting"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name val="Bookman Old Style"/>
      <family val="1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1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6" fillId="0" borderId="0" xfId="0" applyFont="1"/>
    <xf numFmtId="0" fontId="7" fillId="0" borderId="0" xfId="3" quotePrefix="1"/>
    <xf numFmtId="0" fontId="6" fillId="0" borderId="0" xfId="0" quotePrefix="1" applyFont="1"/>
    <xf numFmtId="0" fontId="3" fillId="0" borderId="0" xfId="0" applyFont="1"/>
    <xf numFmtId="0" fontId="3" fillId="0" borderId="0" xfId="0" quotePrefix="1" applyFont="1"/>
    <xf numFmtId="0" fontId="8" fillId="0" borderId="0" xfId="0" applyFont="1"/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4" xfId="0" applyFont="1" applyBorder="1"/>
    <xf numFmtId="0" fontId="2" fillId="0" borderId="7" xfId="0" applyFont="1" applyBorder="1"/>
    <xf numFmtId="0" fontId="0" fillId="0" borderId="8" xfId="0" applyBorder="1"/>
    <xf numFmtId="43" fontId="2" fillId="0" borderId="8" xfId="1" applyFont="1" applyBorder="1"/>
    <xf numFmtId="0" fontId="0" fillId="0" borderId="4" xfId="0" applyBorder="1"/>
    <xf numFmtId="4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0" xfId="0" applyFont="1" applyBorder="1"/>
    <xf numFmtId="43" fontId="0" fillId="0" borderId="8" xfId="1" applyFont="1" applyBorder="1"/>
    <xf numFmtId="43" fontId="0" fillId="0" borderId="8" xfId="1" applyFont="1" applyBorder="1" applyAlignment="1">
      <alignment horizontal="right"/>
    </xf>
    <xf numFmtId="43" fontId="2" fillId="0" borderId="0" xfId="1" applyFont="1" applyBorder="1"/>
    <xf numFmtId="43" fontId="0" fillId="0" borderId="4" xfId="1" applyFont="1" applyBorder="1" applyAlignment="1">
      <alignment horizontal="right"/>
    </xf>
    <xf numFmtId="43" fontId="2" fillId="0" borderId="4" xfId="0" applyNumberFormat="1" applyFont="1" applyBorder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10" fillId="0" borderId="0" xfId="0" applyFont="1"/>
    <xf numFmtId="43" fontId="10" fillId="0" borderId="0" xfId="1" applyFont="1" applyAlignment="1">
      <alignment horizontal="center"/>
    </xf>
    <xf numFmtId="43" fontId="10" fillId="0" borderId="0" xfId="1" applyFont="1"/>
    <xf numFmtId="0" fontId="9" fillId="0" borderId="0" xfId="0" applyFont="1"/>
    <xf numFmtId="43" fontId="10" fillId="0" borderId="0" xfId="1" applyFont="1" applyFill="1"/>
    <xf numFmtId="43" fontId="10" fillId="0" borderId="0" xfId="1" applyFont="1" applyFill="1" applyBorder="1"/>
    <xf numFmtId="43" fontId="4" fillId="0" borderId="6" xfId="0" applyNumberFormat="1" applyFont="1" applyBorder="1"/>
    <xf numFmtId="43" fontId="10" fillId="0" borderId="0" xfId="0" applyNumberFormat="1" applyFont="1"/>
    <xf numFmtId="43" fontId="4" fillId="0" borderId="0" xfId="0" applyNumberFormat="1" applyFont="1"/>
    <xf numFmtId="43" fontId="4" fillId="0" borderId="11" xfId="0" applyNumberFormat="1" applyFont="1" applyBorder="1"/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9" fillId="0" borderId="0" xfId="0" applyFont="1" applyAlignment="1">
      <alignment horizontal="left"/>
    </xf>
    <xf numFmtId="43" fontId="4" fillId="0" borderId="0" xfId="1" applyFont="1"/>
    <xf numFmtId="43" fontId="6" fillId="0" borderId="0" xfId="1" applyFont="1"/>
    <xf numFmtId="164" fontId="4" fillId="0" borderId="0" xfId="0" applyNumberFormat="1" applyFont="1"/>
    <xf numFmtId="164" fontId="13" fillId="0" borderId="0" xfId="0" applyNumberFormat="1" applyFont="1"/>
    <xf numFmtId="4" fontId="4" fillId="0" borderId="0" xfId="0" applyNumberFormat="1" applyFont="1"/>
    <xf numFmtId="4" fontId="0" fillId="0" borderId="0" xfId="0" applyNumberFormat="1"/>
    <xf numFmtId="4" fontId="14" fillId="0" borderId="0" xfId="0" applyNumberFormat="1" applyFont="1"/>
    <xf numFmtId="165" fontId="10" fillId="0" borderId="0" xfId="2" applyNumberFormat="1" applyFont="1" applyFill="1"/>
    <xf numFmtId="43" fontId="10" fillId="0" borderId="6" xfId="1" applyFont="1" applyFill="1" applyBorder="1"/>
    <xf numFmtId="0" fontId="4" fillId="0" borderId="0" xfId="0" applyFont="1" applyAlignment="1">
      <alignment horizontal="center"/>
    </xf>
    <xf numFmtId="0" fontId="10" fillId="0" borderId="12" xfId="0" applyFont="1" applyBorder="1"/>
    <xf numFmtId="0" fontId="4" fillId="0" borderId="12" xfId="0" applyFont="1" applyBorder="1"/>
    <xf numFmtId="43" fontId="9" fillId="0" borderId="0" xfId="0" applyNumberFormat="1" applyFont="1"/>
    <xf numFmtId="43" fontId="9" fillId="0" borderId="11" xfId="0" applyNumberFormat="1" applyFont="1" applyBorder="1"/>
    <xf numFmtId="43" fontId="9" fillId="0" borderId="11" xfId="1" applyFont="1" applyBorder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3" fontId="0" fillId="0" borderId="9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/>
  </cellXfs>
  <cellStyles count="4">
    <cellStyle name="Comma" xfId="1" builtinId="3"/>
    <cellStyle name="Comma [0]" xfId="2" builtinId="6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9676A-36E3-4C14-808A-CAAD7D00C94D}">
  <dimension ref="A2:C22"/>
  <sheetViews>
    <sheetView view="pageBreakPreview" zoomScale="85" zoomScaleNormal="100" zoomScaleSheetLayoutView="85" workbookViewId="0">
      <selection activeCell="C11" sqref="C11"/>
    </sheetView>
  </sheetViews>
  <sheetFormatPr defaultRowHeight="15" x14ac:dyDescent="0.25"/>
  <cols>
    <col min="2" max="2" width="31.7109375" customWidth="1"/>
    <col min="3" max="3" width="53" customWidth="1"/>
  </cols>
  <sheetData>
    <row r="2" spans="1:3" ht="18.75" x14ac:dyDescent="0.3">
      <c r="A2" s="1"/>
      <c r="B2" s="1"/>
      <c r="C2" s="2" t="s">
        <v>0</v>
      </c>
    </row>
    <row r="3" spans="1:3" ht="15.75" x14ac:dyDescent="0.25">
      <c r="A3" s="1"/>
      <c r="B3" s="1"/>
      <c r="C3" s="1"/>
    </row>
    <row r="4" spans="1:3" ht="53.45" customHeight="1" x14ac:dyDescent="0.25">
      <c r="A4" s="1"/>
      <c r="B4" t="s">
        <v>1</v>
      </c>
      <c r="C4" s="3" t="s">
        <v>2</v>
      </c>
    </row>
    <row r="5" spans="1:3" ht="27.75" customHeight="1" x14ac:dyDescent="0.25">
      <c r="A5" s="1"/>
      <c r="B5" t="s">
        <v>3</v>
      </c>
      <c r="C5" s="4">
        <v>941108025272</v>
      </c>
    </row>
    <row r="6" spans="1:3" ht="28.5" customHeight="1" x14ac:dyDescent="0.25">
      <c r="A6" s="1"/>
      <c r="B6" t="s">
        <v>4</v>
      </c>
      <c r="C6" s="5" t="s">
        <v>5</v>
      </c>
    </row>
    <row r="7" spans="1:3" ht="30" customHeight="1" x14ac:dyDescent="0.25">
      <c r="A7" s="1"/>
      <c r="C7" s="3" t="s">
        <v>6</v>
      </c>
    </row>
    <row r="8" spans="1:3" ht="30.75" customHeight="1" x14ac:dyDescent="0.25">
      <c r="A8" s="1"/>
      <c r="B8" t="s">
        <v>7</v>
      </c>
      <c r="C8" s="3" t="s">
        <v>8</v>
      </c>
    </row>
    <row r="9" spans="1:3" ht="28.5" customHeight="1" x14ac:dyDescent="0.25">
      <c r="A9" s="1"/>
      <c r="B9" t="s">
        <v>9</v>
      </c>
      <c r="C9" s="6" t="s">
        <v>10</v>
      </c>
    </row>
    <row r="10" spans="1:3" ht="32.25" customHeight="1" x14ac:dyDescent="0.25">
      <c r="A10" s="1"/>
      <c r="B10" t="s">
        <v>11</v>
      </c>
      <c r="C10" s="7" t="s">
        <v>12</v>
      </c>
    </row>
    <row r="11" spans="1:3" ht="26.25" customHeight="1" x14ac:dyDescent="0.25">
      <c r="B11" t="s">
        <v>13</v>
      </c>
      <c r="C11" s="8" t="s">
        <v>154</v>
      </c>
    </row>
    <row r="12" spans="1:3" ht="28.5" customHeight="1" x14ac:dyDescent="0.25">
      <c r="B12" t="s">
        <v>14</v>
      </c>
      <c r="C12" s="8" t="s">
        <v>15</v>
      </c>
    </row>
    <row r="13" spans="1:3" ht="33.75" customHeight="1" x14ac:dyDescent="0.25">
      <c r="C13" s="6"/>
    </row>
    <row r="14" spans="1:3" ht="27.75" customHeight="1" x14ac:dyDescent="0.25">
      <c r="B14" s="9" t="s">
        <v>16</v>
      </c>
      <c r="C14" s="10" t="s">
        <v>17</v>
      </c>
    </row>
    <row r="15" spans="1:3" ht="36" customHeight="1" x14ac:dyDescent="0.25">
      <c r="B15" s="9" t="s">
        <v>18</v>
      </c>
      <c r="C15" s="10" t="s">
        <v>19</v>
      </c>
    </row>
    <row r="16" spans="1:3" ht="28.5" customHeight="1" x14ac:dyDescent="0.25">
      <c r="B16" s="9" t="s">
        <v>20</v>
      </c>
      <c r="C16" s="9" t="s">
        <v>21</v>
      </c>
    </row>
    <row r="17" spans="2:3" ht="33" customHeight="1" x14ac:dyDescent="0.25">
      <c r="B17" s="9" t="s">
        <v>22</v>
      </c>
      <c r="C17" s="9" t="s">
        <v>23</v>
      </c>
    </row>
    <row r="18" spans="2:3" ht="30" customHeight="1" x14ac:dyDescent="0.25">
      <c r="B18" s="9" t="s">
        <v>24</v>
      </c>
      <c r="C18" s="9" t="s">
        <v>25</v>
      </c>
    </row>
    <row r="19" spans="2:3" ht="24.75" customHeight="1" x14ac:dyDescent="0.25">
      <c r="B19" s="9" t="s">
        <v>26</v>
      </c>
      <c r="C19" s="9" t="s">
        <v>27</v>
      </c>
    </row>
    <row r="20" spans="2:3" ht="27.75" customHeight="1" x14ac:dyDescent="0.25">
      <c r="B20" s="9" t="s">
        <v>28</v>
      </c>
      <c r="C20" s="9" t="s">
        <v>29</v>
      </c>
    </row>
    <row r="21" spans="2:3" ht="24" customHeight="1" x14ac:dyDescent="0.25">
      <c r="B21" s="9" t="s">
        <v>30</v>
      </c>
      <c r="C21" s="9" t="s">
        <v>31</v>
      </c>
    </row>
    <row r="22" spans="2:3" ht="24.75" customHeight="1" x14ac:dyDescent="0.25">
      <c r="B22" s="9" t="s">
        <v>32</v>
      </c>
      <c r="C22" s="9" t="s">
        <v>33</v>
      </c>
    </row>
  </sheetData>
  <pageMargins left="0.7" right="0.7" top="0.75" bottom="0.75" header="0.3" footer="0.3"/>
  <pageSetup paperSize="9" scale="9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2D329-DDBD-4592-A222-30FD56DCB064}">
  <dimension ref="B2:L38"/>
  <sheetViews>
    <sheetView view="pageBreakPreview" zoomScale="82" zoomScaleNormal="100" zoomScaleSheetLayoutView="82" workbookViewId="0">
      <selection activeCell="D23" sqref="D23"/>
    </sheetView>
  </sheetViews>
  <sheetFormatPr defaultRowHeight="15" x14ac:dyDescent="0.25"/>
  <cols>
    <col min="2" max="2" width="13.85546875" bestFit="1" customWidth="1"/>
    <col min="3" max="3" width="17.28515625" customWidth="1"/>
    <col min="4" max="4" width="20" customWidth="1"/>
    <col min="5" max="5" width="15.85546875" customWidth="1"/>
    <col min="6" max="6" width="19" customWidth="1"/>
    <col min="7" max="7" width="24.28515625" customWidth="1"/>
    <col min="8" max="8" width="13.42578125" customWidth="1"/>
    <col min="9" max="9" width="19.42578125" customWidth="1"/>
    <col min="10" max="10" width="28.7109375" customWidth="1"/>
    <col min="11" max="11" width="14.85546875" bestFit="1" customWidth="1"/>
  </cols>
  <sheetData>
    <row r="2" spans="2:11" ht="18" x14ac:dyDescent="0.25">
      <c r="B2" s="11" t="s">
        <v>34</v>
      </c>
    </row>
    <row r="4" spans="2:11" ht="15.75" x14ac:dyDescent="0.25">
      <c r="B4" s="12" t="s">
        <v>35</v>
      </c>
      <c r="C4" s="66" t="s">
        <v>36</v>
      </c>
      <c r="D4" s="67"/>
      <c r="E4" s="67"/>
      <c r="F4" s="67"/>
      <c r="G4" s="13" t="s">
        <v>37</v>
      </c>
    </row>
    <row r="5" spans="2:11" x14ac:dyDescent="0.25">
      <c r="B5" s="14" t="s">
        <v>38</v>
      </c>
      <c r="C5" s="68"/>
      <c r="D5" s="69"/>
      <c r="E5" s="69"/>
      <c r="F5" s="69"/>
      <c r="G5" s="15"/>
    </row>
    <row r="6" spans="2:11" x14ac:dyDescent="0.25">
      <c r="B6" s="16" t="s">
        <v>39</v>
      </c>
      <c r="C6" s="63">
        <v>175703</v>
      </c>
      <c r="D6" s="64"/>
      <c r="E6" s="64"/>
      <c r="F6" s="65"/>
      <c r="G6" s="17">
        <f>SUM(C6:F6)</f>
        <v>175703</v>
      </c>
    </row>
    <row r="7" spans="2:11" x14ac:dyDescent="0.25">
      <c r="B7" s="18" t="s">
        <v>40</v>
      </c>
      <c r="C7" s="63">
        <v>168785</v>
      </c>
      <c r="D7" s="64"/>
      <c r="E7" s="64"/>
      <c r="F7" s="65"/>
      <c r="G7" s="17">
        <f t="shared" ref="G7:G17" si="0">SUM(C7:F7)</f>
        <v>168785</v>
      </c>
      <c r="K7" s="19"/>
    </row>
    <row r="8" spans="2:11" x14ac:dyDescent="0.25">
      <c r="B8" s="18" t="s">
        <v>41</v>
      </c>
      <c r="C8" s="63">
        <v>198806</v>
      </c>
      <c r="D8" s="64"/>
      <c r="E8" s="64"/>
      <c r="F8" s="65"/>
      <c r="G8" s="17">
        <f t="shared" si="0"/>
        <v>198806</v>
      </c>
      <c r="K8" s="19"/>
    </row>
    <row r="9" spans="2:11" x14ac:dyDescent="0.25">
      <c r="B9" s="18" t="s">
        <v>42</v>
      </c>
      <c r="C9" s="63">
        <v>166206.94</v>
      </c>
      <c r="D9" s="64"/>
      <c r="E9" s="64"/>
      <c r="F9" s="65"/>
      <c r="G9" s="17">
        <f t="shared" si="0"/>
        <v>166206.94</v>
      </c>
      <c r="K9" s="19"/>
    </row>
    <row r="10" spans="2:11" x14ac:dyDescent="0.25">
      <c r="B10" s="18" t="s">
        <v>43</v>
      </c>
      <c r="C10" s="63">
        <v>337091.9</v>
      </c>
      <c r="D10" s="64"/>
      <c r="E10" s="64"/>
      <c r="F10" s="65"/>
      <c r="G10" s="17">
        <f t="shared" si="0"/>
        <v>337091.9</v>
      </c>
      <c r="K10" s="19"/>
    </row>
    <row r="11" spans="2:11" x14ac:dyDescent="0.25">
      <c r="B11" s="18" t="s">
        <v>44</v>
      </c>
      <c r="C11" s="63">
        <v>219335</v>
      </c>
      <c r="D11" s="64"/>
      <c r="E11" s="64"/>
      <c r="F11" s="65"/>
      <c r="G11" s="17">
        <f t="shared" si="0"/>
        <v>219335</v>
      </c>
      <c r="K11" s="19"/>
    </row>
    <row r="12" spans="2:11" x14ac:dyDescent="0.25">
      <c r="B12" s="18" t="s">
        <v>45</v>
      </c>
      <c r="C12" s="63">
        <v>386225</v>
      </c>
      <c r="D12" s="64"/>
      <c r="E12" s="64"/>
      <c r="F12" s="65"/>
      <c r="G12" s="17">
        <f t="shared" si="0"/>
        <v>386225</v>
      </c>
      <c r="K12" s="19"/>
    </row>
    <row r="13" spans="2:11" x14ac:dyDescent="0.25">
      <c r="B13" s="18" t="s">
        <v>46</v>
      </c>
      <c r="C13" s="63">
        <v>292210</v>
      </c>
      <c r="D13" s="64"/>
      <c r="E13" s="64"/>
      <c r="F13" s="65"/>
      <c r="G13" s="17">
        <f t="shared" si="0"/>
        <v>292210</v>
      </c>
      <c r="K13" s="19"/>
    </row>
    <row r="14" spans="2:11" x14ac:dyDescent="0.25">
      <c r="B14" s="18" t="s">
        <v>47</v>
      </c>
      <c r="C14" s="63">
        <v>250546</v>
      </c>
      <c r="D14" s="64"/>
      <c r="E14" s="64"/>
      <c r="F14" s="65"/>
      <c r="G14" s="17">
        <f t="shared" si="0"/>
        <v>250546</v>
      </c>
      <c r="K14" s="19"/>
    </row>
    <row r="15" spans="2:11" x14ac:dyDescent="0.25">
      <c r="B15" s="18" t="s">
        <v>48</v>
      </c>
      <c r="C15" s="63">
        <v>266550</v>
      </c>
      <c r="D15" s="64"/>
      <c r="E15" s="64"/>
      <c r="F15" s="65"/>
      <c r="G15" s="17">
        <f t="shared" si="0"/>
        <v>266550</v>
      </c>
      <c r="K15" s="19"/>
    </row>
    <row r="16" spans="2:11" x14ac:dyDescent="0.25">
      <c r="B16" s="18" t="s">
        <v>49</v>
      </c>
      <c r="C16" s="63">
        <v>255128.48</v>
      </c>
      <c r="D16" s="64"/>
      <c r="E16" s="64"/>
      <c r="F16" s="65"/>
      <c r="G16" s="17">
        <f t="shared" si="0"/>
        <v>255128.48</v>
      </c>
      <c r="K16" s="19"/>
    </row>
    <row r="17" spans="2:12" x14ac:dyDescent="0.25">
      <c r="B17" s="18" t="s">
        <v>50</v>
      </c>
      <c r="C17" s="63">
        <v>254323.4</v>
      </c>
      <c r="D17" s="64"/>
      <c r="E17" s="64"/>
      <c r="F17" s="65"/>
      <c r="G17" s="17">
        <f t="shared" si="0"/>
        <v>254323.4</v>
      </c>
      <c r="K17" s="19"/>
    </row>
    <row r="19" spans="2:12" x14ac:dyDescent="0.25">
      <c r="F19" t="s">
        <v>51</v>
      </c>
      <c r="G19" s="19">
        <f>SUM(G6:G17)</f>
        <v>2970910.7199999997</v>
      </c>
    </row>
    <row r="21" spans="2:12" ht="18" x14ac:dyDescent="0.25">
      <c r="B21" s="11" t="s">
        <v>52</v>
      </c>
      <c r="G21" s="20" t="s">
        <v>53</v>
      </c>
      <c r="I21" s="19">
        <f>SUM(E38,G38,I26)*0.66</f>
        <v>7167.93</v>
      </c>
    </row>
    <row r="22" spans="2:12" x14ac:dyDescent="0.25">
      <c r="G22" s="20" t="s">
        <v>54</v>
      </c>
      <c r="I22" s="19">
        <f>SUM(I26,E38,G38) *0.66</f>
        <v>7167.93</v>
      </c>
    </row>
    <row r="24" spans="2:12" ht="15.75" x14ac:dyDescent="0.25">
      <c r="B24" s="12" t="s">
        <v>35</v>
      </c>
      <c r="C24" s="13" t="s">
        <v>55</v>
      </c>
      <c r="D24" s="13" t="s">
        <v>56</v>
      </c>
      <c r="E24" s="13" t="s">
        <v>57</v>
      </c>
      <c r="F24" s="13" t="s">
        <v>58</v>
      </c>
      <c r="G24" s="13" t="s">
        <v>59</v>
      </c>
      <c r="H24" s="13" t="s">
        <v>60</v>
      </c>
      <c r="I24" s="13" t="s">
        <v>61</v>
      </c>
      <c r="J24" s="13" t="s">
        <v>62</v>
      </c>
      <c r="K24" s="21"/>
      <c r="L24" s="21"/>
    </row>
    <row r="25" spans="2:12" x14ac:dyDescent="0.25">
      <c r="B25" s="14" t="s">
        <v>38</v>
      </c>
      <c r="C25" s="22"/>
      <c r="D25" s="22"/>
      <c r="E25" s="22"/>
      <c r="F25" s="22"/>
      <c r="G25" s="22"/>
      <c r="H25" s="22"/>
      <c r="I25" s="22"/>
      <c r="J25" s="15"/>
      <c r="K25" s="20"/>
    </row>
    <row r="26" spans="2:12" x14ac:dyDescent="0.25">
      <c r="B26" s="16" t="s">
        <v>63</v>
      </c>
      <c r="C26" s="23">
        <v>113427.18</v>
      </c>
      <c r="D26" s="23">
        <v>47333.15</v>
      </c>
      <c r="E26" s="23">
        <v>0</v>
      </c>
      <c r="F26" s="23">
        <v>0</v>
      </c>
      <c r="G26" s="23">
        <v>0</v>
      </c>
      <c r="H26" s="23">
        <v>600</v>
      </c>
      <c r="I26" s="23">
        <v>8510.5</v>
      </c>
      <c r="J26" s="24" t="s">
        <v>64</v>
      </c>
      <c r="K26" s="25"/>
    </row>
    <row r="27" spans="2:12" x14ac:dyDescent="0.25">
      <c r="B27" s="18" t="s">
        <v>65</v>
      </c>
      <c r="C27" s="23">
        <v>96313.15</v>
      </c>
      <c r="D27" s="23">
        <v>33500</v>
      </c>
      <c r="E27" s="23">
        <v>0</v>
      </c>
      <c r="F27" s="23">
        <v>0</v>
      </c>
      <c r="G27" s="23">
        <v>0</v>
      </c>
      <c r="H27" s="23">
        <v>450</v>
      </c>
      <c r="I27" s="23">
        <v>0</v>
      </c>
      <c r="J27" s="24" t="s">
        <v>66</v>
      </c>
      <c r="K27" s="25"/>
    </row>
    <row r="28" spans="2:12" x14ac:dyDescent="0.25">
      <c r="B28" s="18" t="s">
        <v>41</v>
      </c>
      <c r="C28" s="23">
        <v>142843.94</v>
      </c>
      <c r="D28" s="23">
        <v>40240.300000000003</v>
      </c>
      <c r="E28" s="23">
        <v>0</v>
      </c>
      <c r="F28" s="23">
        <v>0</v>
      </c>
      <c r="G28" s="23">
        <v>0</v>
      </c>
      <c r="H28" s="23">
        <v>350</v>
      </c>
      <c r="I28" s="23">
        <v>4091</v>
      </c>
      <c r="J28" s="26" t="s">
        <v>67</v>
      </c>
      <c r="K28" s="25"/>
    </row>
    <row r="29" spans="2:12" x14ac:dyDescent="0.25">
      <c r="B29" s="18" t="s">
        <v>42</v>
      </c>
      <c r="C29" s="23">
        <v>101429.77</v>
      </c>
      <c r="D29" s="23">
        <v>43550</v>
      </c>
      <c r="E29" s="23">
        <v>0</v>
      </c>
      <c r="F29" s="23">
        <v>1500</v>
      </c>
      <c r="G29" s="23">
        <v>0</v>
      </c>
      <c r="H29" s="23">
        <v>350</v>
      </c>
      <c r="I29" s="23">
        <v>950</v>
      </c>
      <c r="J29" s="24" t="s">
        <v>68</v>
      </c>
      <c r="K29" s="25"/>
    </row>
    <row r="30" spans="2:12" x14ac:dyDescent="0.25">
      <c r="B30" s="18" t="s">
        <v>43</v>
      </c>
      <c r="C30" s="23">
        <v>162631.23000000001</v>
      </c>
      <c r="D30" s="23">
        <v>42126</v>
      </c>
      <c r="E30" s="23">
        <v>0</v>
      </c>
      <c r="F30" s="23">
        <v>2920</v>
      </c>
      <c r="G30" s="23">
        <v>0</v>
      </c>
      <c r="H30" s="23">
        <v>50</v>
      </c>
      <c r="I30" s="23">
        <v>350</v>
      </c>
      <c r="J30" s="24" t="s">
        <v>69</v>
      </c>
      <c r="K30" s="25"/>
    </row>
    <row r="31" spans="2:12" x14ac:dyDescent="0.25">
      <c r="B31" s="18" t="s">
        <v>44</v>
      </c>
      <c r="C31" s="23">
        <v>203643.38</v>
      </c>
      <c r="D31" s="23">
        <v>4700</v>
      </c>
      <c r="E31" s="23">
        <v>540</v>
      </c>
      <c r="F31" s="23">
        <v>1500</v>
      </c>
      <c r="G31" s="23">
        <v>0</v>
      </c>
      <c r="H31" s="23">
        <v>350</v>
      </c>
      <c r="I31" s="23">
        <v>0</v>
      </c>
      <c r="J31" s="24" t="s">
        <v>70</v>
      </c>
      <c r="K31" s="25"/>
    </row>
    <row r="32" spans="2:12" x14ac:dyDescent="0.25">
      <c r="B32" s="18" t="s">
        <v>45</v>
      </c>
      <c r="C32" s="23">
        <v>194516.92</v>
      </c>
      <c r="D32" s="23">
        <v>18400</v>
      </c>
      <c r="E32" s="23">
        <v>0</v>
      </c>
      <c r="F32" s="23">
        <v>0</v>
      </c>
      <c r="G32" s="23">
        <v>130</v>
      </c>
      <c r="H32" s="23">
        <v>1050</v>
      </c>
      <c r="I32" s="23">
        <v>0</v>
      </c>
      <c r="J32" s="24" t="s">
        <v>71</v>
      </c>
      <c r="K32" s="25"/>
    </row>
    <row r="33" spans="2:11" x14ac:dyDescent="0.25">
      <c r="B33" s="18" t="s">
        <v>46</v>
      </c>
      <c r="C33" s="23">
        <v>241432.17</v>
      </c>
      <c r="D33" s="23">
        <v>7200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4" t="s">
        <v>72</v>
      </c>
      <c r="K33" s="25"/>
    </row>
    <row r="34" spans="2:11" x14ac:dyDescent="0.25">
      <c r="B34" s="18" t="s">
        <v>47</v>
      </c>
      <c r="C34" s="23">
        <v>211442.1</v>
      </c>
      <c r="D34" s="23">
        <v>7600</v>
      </c>
      <c r="E34" s="23">
        <v>0</v>
      </c>
      <c r="F34" s="23">
        <v>0</v>
      </c>
      <c r="G34" s="23">
        <v>0</v>
      </c>
      <c r="H34" s="23"/>
      <c r="I34" s="23">
        <v>0</v>
      </c>
      <c r="J34" s="24" t="s">
        <v>73</v>
      </c>
      <c r="K34" s="25"/>
    </row>
    <row r="35" spans="2:11" x14ac:dyDescent="0.25">
      <c r="B35" s="18" t="s">
        <v>48</v>
      </c>
      <c r="C35" s="23">
        <v>201063.01</v>
      </c>
      <c r="D35" s="23">
        <v>8020</v>
      </c>
      <c r="E35" s="23">
        <v>0</v>
      </c>
      <c r="F35" s="23">
        <v>0</v>
      </c>
      <c r="G35" s="23">
        <v>380</v>
      </c>
      <c r="H35" s="23">
        <v>350</v>
      </c>
      <c r="I35" s="23">
        <v>0</v>
      </c>
      <c r="J35" s="24" t="s">
        <v>74</v>
      </c>
      <c r="K35" s="25"/>
    </row>
    <row r="36" spans="2:11" x14ac:dyDescent="0.25">
      <c r="B36" s="18" t="s">
        <v>49</v>
      </c>
      <c r="C36" s="23">
        <v>205288.04</v>
      </c>
      <c r="D36" s="23">
        <v>13700</v>
      </c>
      <c r="E36" s="23">
        <v>0</v>
      </c>
      <c r="F36" s="23">
        <v>0</v>
      </c>
      <c r="G36" s="23">
        <v>1300</v>
      </c>
      <c r="H36" s="23">
        <v>350</v>
      </c>
      <c r="I36" s="23">
        <v>3090</v>
      </c>
      <c r="J36" s="24" t="s">
        <v>75</v>
      </c>
      <c r="K36" s="25"/>
    </row>
    <row r="37" spans="2:11" x14ac:dyDescent="0.25">
      <c r="B37" s="18" t="s">
        <v>50</v>
      </c>
      <c r="C37" s="23">
        <v>236453.19</v>
      </c>
      <c r="D37" s="23">
        <v>8700</v>
      </c>
      <c r="E37" s="23">
        <v>0</v>
      </c>
      <c r="F37" s="23">
        <v>3000</v>
      </c>
      <c r="G37" s="23">
        <v>0</v>
      </c>
      <c r="H37" s="23">
        <v>0</v>
      </c>
      <c r="I37" s="23">
        <v>150</v>
      </c>
      <c r="J37" s="26" t="s">
        <v>76</v>
      </c>
      <c r="K37" s="25"/>
    </row>
    <row r="38" spans="2:11" x14ac:dyDescent="0.25">
      <c r="B38" s="14" t="s">
        <v>37</v>
      </c>
      <c r="C38" s="27">
        <f t="shared" ref="C38:H38" si="1">SUM(C26:C37)</f>
        <v>2110484.08</v>
      </c>
      <c r="D38" s="23">
        <f>SUM(D26:D37)</f>
        <v>275069.45</v>
      </c>
      <c r="E38" s="27">
        <f t="shared" si="1"/>
        <v>540</v>
      </c>
      <c r="F38" s="27">
        <f t="shared" si="1"/>
        <v>8920</v>
      </c>
      <c r="G38" s="27">
        <f t="shared" si="1"/>
        <v>1810</v>
      </c>
      <c r="H38" s="27">
        <f t="shared" si="1"/>
        <v>3900</v>
      </c>
      <c r="I38" s="27">
        <f>SUM(I26:I37,C38:H38)</f>
        <v>2417865.0300000003</v>
      </c>
      <c r="J38" s="15" t="s">
        <v>77</v>
      </c>
    </row>
  </sheetData>
  <mergeCells count="13">
    <mergeCell ref="C17:F17"/>
    <mergeCell ref="C11:F11"/>
    <mergeCell ref="C12:F12"/>
    <mergeCell ref="C13:F13"/>
    <mergeCell ref="C14:F14"/>
    <mergeCell ref="C15:F15"/>
    <mergeCell ref="C16:F16"/>
    <mergeCell ref="C10:F10"/>
    <mergeCell ref="C4:F5"/>
    <mergeCell ref="C6:F6"/>
    <mergeCell ref="C7:F7"/>
    <mergeCell ref="C8:F8"/>
    <mergeCell ref="C9:F9"/>
  </mergeCells>
  <pageMargins left="0.7" right="0.7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A817A-FA37-4E36-889F-F740B9D530A2}">
  <dimension ref="A1:F56"/>
  <sheetViews>
    <sheetView tabSelected="1" view="pageBreakPreview" topLeftCell="A22" zoomScale="60" zoomScaleNormal="100" workbookViewId="0">
      <selection activeCell="C14" sqref="C14"/>
    </sheetView>
  </sheetViews>
  <sheetFormatPr defaultRowHeight="15" x14ac:dyDescent="0.25"/>
  <cols>
    <col min="1" max="1" width="49.5703125" customWidth="1"/>
    <col min="2" max="2" width="17.140625" customWidth="1"/>
    <col min="4" max="4" width="18.85546875" customWidth="1"/>
    <col min="5" max="5" width="8.85546875" customWidth="1"/>
    <col min="6" max="6" width="19.5703125" customWidth="1"/>
  </cols>
  <sheetData>
    <row r="1" spans="1:6" ht="15.75" x14ac:dyDescent="0.25">
      <c r="A1" s="70" t="str">
        <f>'MAKLUMAT ASAS'!C9</f>
        <v>ANM DESIGN &amp; BUILD</v>
      </c>
      <c r="B1" s="70"/>
      <c r="C1" s="70"/>
      <c r="D1" s="70"/>
    </row>
    <row r="2" spans="1:6" ht="15.75" x14ac:dyDescent="0.25">
      <c r="A2" s="71" t="str">
        <f>'MAKLUMAT ASAS'!C8</f>
        <v>202303144031 (TR0285527-D)</v>
      </c>
      <c r="B2" s="71"/>
      <c r="C2" s="71"/>
      <c r="D2" s="71"/>
    </row>
    <row r="3" spans="1:6" ht="15.75" x14ac:dyDescent="0.25">
      <c r="A3" s="70" t="s">
        <v>78</v>
      </c>
      <c r="B3" s="70"/>
      <c r="C3" s="70"/>
      <c r="D3" s="70"/>
    </row>
    <row r="4" spans="1:6" ht="15.75" x14ac:dyDescent="0.25">
      <c r="A4" s="70" t="s">
        <v>79</v>
      </c>
      <c r="B4" s="70"/>
      <c r="C4" s="70"/>
      <c r="D4" s="70"/>
    </row>
    <row r="5" spans="1:6" ht="15.75" x14ac:dyDescent="0.3">
      <c r="A5" s="30"/>
      <c r="B5" s="31"/>
      <c r="C5" s="30"/>
      <c r="D5" s="30"/>
    </row>
    <row r="6" spans="1:6" s="1" customFormat="1" ht="15.75" x14ac:dyDescent="0.25">
      <c r="A6" s="32" t="s">
        <v>80</v>
      </c>
      <c r="B6" s="28" t="s">
        <v>81</v>
      </c>
      <c r="C6" s="28" t="s">
        <v>82</v>
      </c>
      <c r="D6" s="28" t="s">
        <v>83</v>
      </c>
      <c r="F6" s="28" t="s">
        <v>83</v>
      </c>
    </row>
    <row r="7" spans="1:6" s="1" customFormat="1" ht="15.75" x14ac:dyDescent="0.25">
      <c r="A7" s="33"/>
      <c r="B7" s="34"/>
      <c r="C7" s="33"/>
      <c r="D7" s="35"/>
    </row>
    <row r="8" spans="1:6" s="1" customFormat="1" ht="15.75" x14ac:dyDescent="0.25">
      <c r="A8" s="36" t="s">
        <v>84</v>
      </c>
      <c r="B8" s="33"/>
      <c r="C8" s="33"/>
      <c r="F8" s="37">
        <f>LEJAR!G19</f>
        <v>2970910.7199999997</v>
      </c>
    </row>
    <row r="9" spans="1:6" s="1" customFormat="1" ht="15.75" x14ac:dyDescent="0.25">
      <c r="A9" s="36" t="s">
        <v>82</v>
      </c>
      <c r="B9" s="33"/>
      <c r="C9" s="33"/>
      <c r="D9" s="33"/>
    </row>
    <row r="10" spans="1:6" s="1" customFormat="1" ht="15.75" x14ac:dyDescent="0.25">
      <c r="A10" s="36" t="s">
        <v>85</v>
      </c>
      <c r="B10" s="33"/>
      <c r="C10" s="33"/>
      <c r="D10" s="33"/>
    </row>
    <row r="11" spans="1:6" s="1" customFormat="1" ht="15.75" x14ac:dyDescent="0.25">
      <c r="A11" s="33" t="s">
        <v>86</v>
      </c>
      <c r="B11" s="37"/>
      <c r="C11" s="35"/>
      <c r="D11" s="37"/>
    </row>
    <row r="12" spans="1:6" s="1" customFormat="1" ht="15.75" x14ac:dyDescent="0.25">
      <c r="A12" s="33" t="s">
        <v>87</v>
      </c>
      <c r="B12" s="37">
        <f>LEJAR!C38</f>
        <v>2110484.08</v>
      </c>
      <c r="C12" s="35"/>
      <c r="D12" s="37"/>
    </row>
    <row r="13" spans="1:6" s="1" customFormat="1" ht="15.75" x14ac:dyDescent="0.25">
      <c r="A13" s="33"/>
      <c r="B13" s="37"/>
      <c r="C13" s="35"/>
      <c r="D13" s="37"/>
    </row>
    <row r="14" spans="1:6" s="1" customFormat="1" ht="15.75" x14ac:dyDescent="0.25">
      <c r="A14" s="33" t="s">
        <v>88</v>
      </c>
      <c r="B14" s="37"/>
      <c r="C14" s="35"/>
      <c r="D14" s="38"/>
    </row>
    <row r="15" spans="1:6" s="1" customFormat="1" ht="15.75" x14ac:dyDescent="0.25">
      <c r="A15" s="33"/>
      <c r="B15" s="37"/>
      <c r="C15" s="35"/>
      <c r="D15" s="38"/>
    </row>
    <row r="16" spans="1:6" s="1" customFormat="1" ht="15.75" x14ac:dyDescent="0.25">
      <c r="A16" s="33" t="s">
        <v>89</v>
      </c>
      <c r="B16" s="37"/>
      <c r="C16" s="35"/>
      <c r="D16" s="38"/>
      <c r="F16" s="39"/>
    </row>
    <row r="17" spans="1:6" s="1" customFormat="1" ht="15.75" x14ac:dyDescent="0.25">
      <c r="A17" s="36" t="s">
        <v>90</v>
      </c>
      <c r="B17" s="33"/>
      <c r="C17" s="33"/>
      <c r="D17" s="40"/>
      <c r="F17" s="41">
        <f>SUM(F8-B11-B12+D14)</f>
        <v>860426.63999999966</v>
      </c>
    </row>
    <row r="18" spans="1:6" s="1" customFormat="1" ht="15.75" x14ac:dyDescent="0.25">
      <c r="A18" s="36"/>
      <c r="B18" s="33"/>
      <c r="C18" s="33"/>
      <c r="D18" s="40"/>
      <c r="F18" s="41"/>
    </row>
    <row r="19" spans="1:6" s="1" customFormat="1" ht="15.75" x14ac:dyDescent="0.25">
      <c r="A19" s="36" t="s">
        <v>91</v>
      </c>
      <c r="B19" s="33"/>
      <c r="C19" s="33"/>
      <c r="D19" s="40"/>
      <c r="F19" s="41"/>
    </row>
    <row r="20" spans="1:6" s="1" customFormat="1" ht="15.75" x14ac:dyDescent="0.25">
      <c r="A20" s="33" t="s">
        <v>92</v>
      </c>
      <c r="B20" s="33"/>
      <c r="C20" s="33"/>
      <c r="D20" s="40"/>
      <c r="F20" s="41"/>
    </row>
    <row r="21" spans="1:6" s="1" customFormat="1" ht="15.75" x14ac:dyDescent="0.25">
      <c r="A21" s="36"/>
      <c r="B21" s="33"/>
      <c r="C21" s="33"/>
      <c r="D21" s="40"/>
      <c r="F21" s="41"/>
    </row>
    <row r="22" spans="1:6" s="1" customFormat="1" ht="16.5" thickBot="1" x14ac:dyDescent="0.3">
      <c r="A22" s="36" t="s">
        <v>93</v>
      </c>
      <c r="B22" s="33"/>
      <c r="C22" s="33"/>
      <c r="D22" s="40"/>
      <c r="F22" s="42">
        <f>SUM(F17+F19)</f>
        <v>860426.63999999966</v>
      </c>
    </row>
    <row r="23" spans="1:6" s="1" customFormat="1" ht="15.75" x14ac:dyDescent="0.25">
      <c r="A23" s="36"/>
      <c r="B23" s="33"/>
      <c r="C23" s="33"/>
      <c r="D23" s="40"/>
      <c r="F23" s="41"/>
    </row>
    <row r="24" spans="1:6" s="1" customFormat="1" ht="15.75" x14ac:dyDescent="0.25">
      <c r="A24" s="36"/>
      <c r="B24" s="33"/>
      <c r="C24" s="33"/>
      <c r="D24" s="40"/>
      <c r="F24" s="41"/>
    </row>
    <row r="25" spans="1:6" s="1" customFormat="1" ht="15.75" x14ac:dyDescent="0.25">
      <c r="A25" s="36" t="s">
        <v>94</v>
      </c>
      <c r="B25" s="33"/>
      <c r="C25" s="33"/>
      <c r="D25" s="33"/>
    </row>
    <row r="26" spans="1:6" s="1" customFormat="1" ht="15.75" x14ac:dyDescent="0.25">
      <c r="A26" s="33" t="s">
        <v>95</v>
      </c>
      <c r="B26" s="35">
        <f>LEJAR!D38</f>
        <v>275069.45</v>
      </c>
      <c r="C26" s="33"/>
      <c r="D26" s="33"/>
    </row>
    <row r="27" spans="1:6" s="1" customFormat="1" ht="15.75" x14ac:dyDescent="0.25">
      <c r="A27" s="43" t="s">
        <v>60</v>
      </c>
      <c r="B27" s="37">
        <f>LEJAR!H38</f>
        <v>3900</v>
      </c>
      <c r="C27" s="35"/>
      <c r="D27" s="37"/>
    </row>
    <row r="28" spans="1:6" s="1" customFormat="1" ht="15.75" x14ac:dyDescent="0.25">
      <c r="A28" s="43" t="s">
        <v>96</v>
      </c>
      <c r="B28" s="37">
        <f>LEJAR!G38</f>
        <v>1810</v>
      </c>
      <c r="C28" s="35"/>
      <c r="D28" s="37"/>
    </row>
    <row r="29" spans="1:6" s="1" customFormat="1" ht="15.75" x14ac:dyDescent="0.25">
      <c r="A29" s="43" t="s">
        <v>57</v>
      </c>
      <c r="B29" s="37">
        <f>LEJAR!E38</f>
        <v>540</v>
      </c>
      <c r="C29" s="35"/>
      <c r="D29" s="37"/>
    </row>
    <row r="30" spans="1:6" s="1" customFormat="1" ht="15.75" x14ac:dyDescent="0.25">
      <c r="A30" s="43" t="s">
        <v>97</v>
      </c>
      <c r="B30" s="37"/>
      <c r="C30" s="35"/>
      <c r="D30" s="37">
        <f>B26+B27+B28+B29</f>
        <v>281319.45</v>
      </c>
    </row>
    <row r="31" spans="1:6" s="1" customFormat="1" ht="15.75" x14ac:dyDescent="0.25">
      <c r="A31" s="43"/>
      <c r="B31" s="37"/>
      <c r="C31" s="35"/>
      <c r="D31" s="37"/>
    </row>
    <row r="32" spans="1:6" s="1" customFormat="1" ht="15.75" x14ac:dyDescent="0.25">
      <c r="A32" s="44" t="s">
        <v>98</v>
      </c>
      <c r="B32" s="35"/>
      <c r="C32" s="35"/>
      <c r="F32" s="38"/>
    </row>
    <row r="33" spans="1:6" s="1" customFormat="1" ht="15.75" x14ac:dyDescent="0.25">
      <c r="A33" s="43" t="s">
        <v>99</v>
      </c>
      <c r="B33" s="35">
        <f>LEJAR!I26</f>
        <v>8510.5</v>
      </c>
      <c r="C33" s="33"/>
      <c r="D33" s="33"/>
    </row>
    <row r="34" spans="1:6" s="1" customFormat="1" ht="15.75" x14ac:dyDescent="0.25">
      <c r="A34" s="43" t="s">
        <v>100</v>
      </c>
      <c r="B34" s="35">
        <f>LEJAR!I27</f>
        <v>0</v>
      </c>
    </row>
    <row r="35" spans="1:6" s="1" customFormat="1" ht="15.75" x14ac:dyDescent="0.25">
      <c r="A35" s="43" t="s">
        <v>101</v>
      </c>
      <c r="B35" s="35">
        <f>LEJAR!I28</f>
        <v>4091</v>
      </c>
    </row>
    <row r="36" spans="1:6" s="1" customFormat="1" ht="15.75" x14ac:dyDescent="0.25">
      <c r="A36" s="43" t="s">
        <v>102</v>
      </c>
      <c r="B36" s="35">
        <f>LEJAR!I29</f>
        <v>950</v>
      </c>
    </row>
    <row r="37" spans="1:6" s="1" customFormat="1" ht="15.75" x14ac:dyDescent="0.25">
      <c r="A37" s="43" t="s">
        <v>103</v>
      </c>
      <c r="B37" s="35">
        <f>LEJAR!I30</f>
        <v>350</v>
      </c>
    </row>
    <row r="38" spans="1:6" s="1" customFormat="1" ht="15.75" x14ac:dyDescent="0.25">
      <c r="A38" s="43" t="s">
        <v>104</v>
      </c>
      <c r="B38" s="35">
        <f>LEJAR!I31</f>
        <v>0</v>
      </c>
    </row>
    <row r="39" spans="1:6" s="1" customFormat="1" ht="15.75" x14ac:dyDescent="0.25">
      <c r="A39" s="43" t="s">
        <v>105</v>
      </c>
      <c r="B39" s="35">
        <f>LEJAR!I32</f>
        <v>0</v>
      </c>
    </row>
    <row r="40" spans="1:6" s="1" customFormat="1" ht="15.75" x14ac:dyDescent="0.25">
      <c r="A40" s="43" t="s">
        <v>106</v>
      </c>
      <c r="B40" s="35">
        <f>LEJAR!I33</f>
        <v>0</v>
      </c>
    </row>
    <row r="41" spans="1:6" s="1" customFormat="1" ht="15.75" x14ac:dyDescent="0.25">
      <c r="A41" s="43" t="s">
        <v>107</v>
      </c>
      <c r="B41" s="35">
        <f>LEJAR!I35</f>
        <v>0</v>
      </c>
      <c r="D41" s="41"/>
      <c r="F41" s="41"/>
    </row>
    <row r="42" spans="1:6" s="1" customFormat="1" ht="15.75" x14ac:dyDescent="0.25">
      <c r="A42" s="43" t="s">
        <v>108</v>
      </c>
      <c r="B42" s="35">
        <f>LEJAR!I34</f>
        <v>0</v>
      </c>
    </row>
    <row r="43" spans="1:6" s="1" customFormat="1" ht="15.75" x14ac:dyDescent="0.25">
      <c r="A43" s="43" t="s">
        <v>109</v>
      </c>
      <c r="B43" s="35">
        <f>LEJAR!I36</f>
        <v>3090</v>
      </c>
    </row>
    <row r="44" spans="1:6" s="1" customFormat="1" ht="15.75" x14ac:dyDescent="0.25">
      <c r="A44" s="43" t="s">
        <v>110</v>
      </c>
      <c r="B44" s="35">
        <f>SUM(LEJAR!I37,LEJAR!F38)</f>
        <v>9070</v>
      </c>
    </row>
    <row r="45" spans="1:6" s="1" customFormat="1" ht="15.75" x14ac:dyDescent="0.25">
      <c r="A45" s="43" t="s">
        <v>111</v>
      </c>
      <c r="B45" s="35"/>
      <c r="D45" s="35">
        <f>SUM(B33:B44)</f>
        <v>26061.5</v>
      </c>
    </row>
    <row r="46" spans="1:6" s="1" customFormat="1" ht="15.75" x14ac:dyDescent="0.25">
      <c r="A46" s="45"/>
      <c r="B46" s="46"/>
      <c r="F46" s="47"/>
    </row>
    <row r="47" spans="1:6" s="1" customFormat="1" ht="15.75" x14ac:dyDescent="0.25">
      <c r="A47" s="33" t="s">
        <v>112</v>
      </c>
      <c r="D47" s="48">
        <f>SUM(D30+D45)</f>
        <v>307380.95</v>
      </c>
    </row>
    <row r="49" spans="1:6" ht="18" x14ac:dyDescent="0.4">
      <c r="A49" s="45" t="s">
        <v>113</v>
      </c>
      <c r="F49" s="49">
        <f>SUM(F22-D47)</f>
        <v>553045.68999999971</v>
      </c>
    </row>
    <row r="50" spans="1:6" ht="15.75" x14ac:dyDescent="0.25">
      <c r="A50" s="20"/>
      <c r="B50" s="50"/>
      <c r="C50" s="51"/>
      <c r="D50" s="51"/>
      <c r="E50" s="51"/>
      <c r="F50" s="51"/>
    </row>
    <row r="51" spans="1:6" ht="15.75" x14ac:dyDescent="0.25">
      <c r="A51" s="20" t="s">
        <v>114</v>
      </c>
      <c r="B51" s="50">
        <f>LEJAR!I21</f>
        <v>7167.93</v>
      </c>
      <c r="C51" s="51"/>
      <c r="D51" s="51"/>
      <c r="E51" s="51"/>
      <c r="F51" s="51"/>
    </row>
    <row r="52" spans="1:6" ht="15.75" x14ac:dyDescent="0.25">
      <c r="A52" s="20" t="s">
        <v>115</v>
      </c>
      <c r="B52" s="50">
        <f>LEJAR!I22</f>
        <v>7167.93</v>
      </c>
      <c r="C52" s="51"/>
      <c r="D52" s="51"/>
      <c r="E52" s="51"/>
      <c r="F52" s="51"/>
    </row>
    <row r="53" spans="1:6" ht="15.75" x14ac:dyDescent="0.25">
      <c r="A53" s="36" t="s">
        <v>116</v>
      </c>
      <c r="B53" s="51"/>
      <c r="C53" s="51"/>
      <c r="D53" s="51"/>
      <c r="E53" s="51"/>
      <c r="F53" s="52">
        <f>SUM(F49,B51)</f>
        <v>560213.61999999976</v>
      </c>
    </row>
    <row r="54" spans="1:6" ht="15.75" x14ac:dyDescent="0.25">
      <c r="A54" s="45"/>
      <c r="B54" s="48"/>
      <c r="C54" s="51"/>
      <c r="D54" s="51"/>
      <c r="E54" s="51"/>
      <c r="F54" s="52"/>
    </row>
    <row r="55" spans="1:6" x14ac:dyDescent="0.25">
      <c r="A55" s="20"/>
    </row>
    <row r="56" spans="1:6" x14ac:dyDescent="0.25">
      <c r="A56" s="20"/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paperSize="9"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90EA-3935-4717-B8E6-305CD87E6238}">
  <dimension ref="A1:S47"/>
  <sheetViews>
    <sheetView view="pageBreakPreview" topLeftCell="A7" zoomScale="75" zoomScaleNormal="100" zoomScaleSheetLayoutView="75" workbookViewId="0">
      <selection activeCell="L30" sqref="L30"/>
    </sheetView>
  </sheetViews>
  <sheetFormatPr defaultRowHeight="15" x14ac:dyDescent="0.25"/>
  <cols>
    <col min="4" max="4" width="15.42578125" customWidth="1"/>
    <col min="5" max="5" width="17.140625" customWidth="1"/>
    <col min="8" max="8" width="9" customWidth="1"/>
    <col min="9" max="9" width="6.42578125" customWidth="1"/>
    <col min="10" max="10" width="14.28515625" bestFit="1" customWidth="1"/>
    <col min="11" max="11" width="7.140625" customWidth="1"/>
    <col min="12" max="12" width="18.42578125" customWidth="1"/>
    <col min="13" max="13" width="7.140625" customWidth="1"/>
    <col min="14" max="14" width="14.42578125" customWidth="1"/>
  </cols>
  <sheetData>
    <row r="1" spans="1:14" ht="15.75" x14ac:dyDescent="0.25">
      <c r="A1" s="70" t="str">
        <f>'MAKLUMAT ASAS'!C9</f>
        <v>ANM DESIGN &amp; BUILD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4" ht="15.75" x14ac:dyDescent="0.25">
      <c r="A2" s="70" t="s">
        <v>117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3" spans="1:14" ht="15.75" x14ac:dyDescent="0.25">
      <c r="A3" s="70" t="s">
        <v>118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1"/>
      <c r="N3" s="1"/>
    </row>
    <row r="4" spans="1:14" ht="15.75" x14ac:dyDescent="0.25">
      <c r="A4" s="70" t="str">
        <f>'MAKLUMAT ASAS'!C8</f>
        <v>202303144031 (TR0285527-D)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1"/>
      <c r="N4" s="1"/>
    </row>
    <row r="5" spans="1:14" ht="15.75" x14ac:dyDescent="0.25">
      <c r="A5" s="33"/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1"/>
      <c r="N5" s="1"/>
    </row>
    <row r="6" spans="1:14" ht="15.75" x14ac:dyDescent="0.25">
      <c r="A6" s="32" t="s">
        <v>119</v>
      </c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1"/>
      <c r="N6" s="1"/>
    </row>
    <row r="7" spans="1:14" ht="15.75" x14ac:dyDescent="0.25">
      <c r="A7" s="33"/>
      <c r="B7" s="33"/>
      <c r="C7" s="33"/>
      <c r="D7" s="33"/>
      <c r="E7" s="28" t="s">
        <v>83</v>
      </c>
      <c r="F7" s="33"/>
      <c r="G7" s="33"/>
      <c r="H7" s="33"/>
      <c r="I7" s="33"/>
      <c r="J7" s="33"/>
      <c r="K7" s="33"/>
      <c r="L7" s="28" t="s">
        <v>83</v>
      </c>
      <c r="M7" s="1"/>
      <c r="N7" s="1"/>
    </row>
    <row r="8" spans="1:14" ht="15.75" x14ac:dyDescent="0.25">
      <c r="A8" s="33" t="s">
        <v>120</v>
      </c>
      <c r="B8" s="33"/>
      <c r="C8" s="33"/>
      <c r="D8" s="33"/>
      <c r="E8" s="35">
        <v>20000</v>
      </c>
      <c r="F8" s="33"/>
      <c r="G8" s="33"/>
      <c r="H8" s="33"/>
      <c r="I8" s="33"/>
      <c r="J8" s="33"/>
      <c r="K8" s="33"/>
      <c r="L8" s="33"/>
      <c r="M8" s="1"/>
      <c r="N8" s="1"/>
    </row>
    <row r="9" spans="1:14" ht="15.75" x14ac:dyDescent="0.25">
      <c r="A9" s="33" t="s">
        <v>121</v>
      </c>
      <c r="B9" s="33"/>
      <c r="C9" s="33"/>
      <c r="D9" s="33"/>
      <c r="E9" s="35">
        <v>0</v>
      </c>
      <c r="F9" s="33"/>
      <c r="G9" s="33"/>
      <c r="H9" s="33"/>
      <c r="I9" s="33"/>
      <c r="J9" s="33"/>
      <c r="K9" s="33"/>
      <c r="L9" s="33"/>
      <c r="M9" s="1"/>
      <c r="N9" s="1"/>
    </row>
    <row r="10" spans="1:14" ht="15.75" x14ac:dyDescent="0.25">
      <c r="A10" s="33"/>
      <c r="B10" s="33"/>
      <c r="C10" s="33"/>
      <c r="D10" s="33"/>
      <c r="E10" s="35">
        <v>0</v>
      </c>
      <c r="F10" s="33"/>
      <c r="G10" s="33"/>
      <c r="H10" s="33"/>
      <c r="I10" s="33"/>
      <c r="J10" s="33"/>
      <c r="K10" s="33"/>
      <c r="L10" s="33"/>
      <c r="M10" s="1"/>
      <c r="N10" s="1"/>
    </row>
    <row r="11" spans="1:14" ht="15.75" x14ac:dyDescent="0.25">
      <c r="A11" s="32" t="s">
        <v>122</v>
      </c>
      <c r="B11" s="33"/>
      <c r="C11" s="33"/>
      <c r="D11" s="33"/>
      <c r="E11" s="33"/>
      <c r="F11" s="32" t="s">
        <v>123</v>
      </c>
      <c r="G11" s="33"/>
      <c r="H11" s="33"/>
      <c r="I11" s="33"/>
      <c r="J11" s="33"/>
      <c r="K11" s="33"/>
      <c r="L11" s="28"/>
      <c r="M11" s="1"/>
      <c r="N11" s="1"/>
    </row>
    <row r="12" spans="1:14" ht="15.75" x14ac:dyDescent="0.25">
      <c r="A12" s="33"/>
      <c r="B12" s="33"/>
      <c r="C12" s="33"/>
      <c r="D12" s="28" t="s">
        <v>83</v>
      </c>
      <c r="E12" s="33"/>
      <c r="F12" s="33"/>
      <c r="G12" s="33"/>
      <c r="H12" s="33"/>
      <c r="I12" s="33"/>
      <c r="J12" s="36" t="s">
        <v>83</v>
      </c>
      <c r="K12" s="33"/>
      <c r="L12" s="28" t="s">
        <v>83</v>
      </c>
      <c r="M12" s="1"/>
      <c r="N12" s="6" t="s">
        <v>83</v>
      </c>
    </row>
    <row r="13" spans="1:14" ht="15.75" x14ac:dyDescent="0.25">
      <c r="A13" s="33"/>
      <c r="B13" s="33"/>
      <c r="C13" s="33"/>
      <c r="D13" s="33"/>
      <c r="E13" s="33"/>
      <c r="F13" s="33"/>
      <c r="G13" s="33"/>
      <c r="H13" s="33"/>
      <c r="I13" s="33" t="s">
        <v>124</v>
      </c>
      <c r="J13" s="33" t="s">
        <v>125</v>
      </c>
      <c r="K13" s="33"/>
      <c r="L13" s="53" t="s">
        <v>126</v>
      </c>
      <c r="M13" s="1"/>
      <c r="N13" s="1" t="s">
        <v>127</v>
      </c>
    </row>
    <row r="14" spans="1:14" ht="15.75" x14ac:dyDescent="0.25">
      <c r="A14" s="33" t="s">
        <v>128</v>
      </c>
      <c r="B14" s="33"/>
      <c r="C14" s="33"/>
      <c r="D14" s="38"/>
      <c r="E14" s="33"/>
      <c r="F14" s="33"/>
      <c r="G14" s="33"/>
      <c r="H14" s="33"/>
      <c r="I14" s="33"/>
      <c r="J14" s="33" t="s">
        <v>129</v>
      </c>
      <c r="K14" s="33"/>
      <c r="L14" s="53"/>
      <c r="M14" s="1"/>
      <c r="N14" s="1" t="s">
        <v>130</v>
      </c>
    </row>
    <row r="15" spans="1:14" ht="15.75" x14ac:dyDescent="0.25">
      <c r="A15" s="33" t="s">
        <v>131</v>
      </c>
      <c r="B15" s="33"/>
      <c r="C15" s="33"/>
      <c r="D15" s="54">
        <f>PNL!F49</f>
        <v>553045.68999999971</v>
      </c>
      <c r="E15" s="33"/>
      <c r="F15" s="33" t="s">
        <v>132</v>
      </c>
      <c r="G15" s="33"/>
      <c r="H15" s="33"/>
      <c r="I15" s="33">
        <v>10</v>
      </c>
      <c r="J15" s="33">
        <v>76500</v>
      </c>
      <c r="K15" s="33"/>
      <c r="L15" s="37">
        <f>J15*I15/100</f>
        <v>7650</v>
      </c>
      <c r="M15" s="1"/>
      <c r="N15" s="41">
        <f>J15-L15</f>
        <v>68850</v>
      </c>
    </row>
    <row r="16" spans="1:14" ht="15.75" x14ac:dyDescent="0.25">
      <c r="A16" s="33"/>
      <c r="B16" s="33"/>
      <c r="C16" s="33"/>
      <c r="D16" s="40">
        <f>SUM(D14,D15)</f>
        <v>553045.68999999971</v>
      </c>
      <c r="E16" s="33"/>
      <c r="F16" s="33" t="s">
        <v>133</v>
      </c>
      <c r="G16" s="33"/>
      <c r="H16" s="33"/>
      <c r="I16" s="33">
        <v>14</v>
      </c>
      <c r="J16" s="33"/>
      <c r="K16" s="33"/>
      <c r="L16" s="37">
        <f>J16*I16/100</f>
        <v>0</v>
      </c>
      <c r="M16" s="1"/>
      <c r="N16" s="41">
        <f>J16-L16</f>
        <v>0</v>
      </c>
    </row>
    <row r="17" spans="1:14" ht="15.75" x14ac:dyDescent="0.25">
      <c r="A17" s="33" t="s">
        <v>134</v>
      </c>
      <c r="B17" s="33"/>
      <c r="C17" s="33"/>
      <c r="D17" s="54">
        <v>0</v>
      </c>
      <c r="E17" s="54">
        <f>SUM(D15-D17)</f>
        <v>553045.68999999971</v>
      </c>
      <c r="F17" s="33" t="s">
        <v>135</v>
      </c>
      <c r="G17" s="33"/>
      <c r="H17" s="33"/>
      <c r="I17" s="33">
        <v>20</v>
      </c>
      <c r="J17" s="33">
        <v>2880</v>
      </c>
      <c r="K17" s="33"/>
      <c r="L17" s="37">
        <f>J17*I17/100</f>
        <v>576</v>
      </c>
      <c r="M17" s="1"/>
      <c r="N17" s="41">
        <f>J17-L17</f>
        <v>2304</v>
      </c>
    </row>
    <row r="18" spans="1:14" ht="15.75" x14ac:dyDescent="0.25">
      <c r="A18" s="33" t="s">
        <v>136</v>
      </c>
      <c r="B18" s="33"/>
      <c r="C18" s="33"/>
      <c r="D18" s="33"/>
      <c r="E18" s="40">
        <f>SUM(E8:E17)</f>
        <v>573045.68999999971</v>
      </c>
      <c r="F18" s="33" t="s">
        <v>137</v>
      </c>
      <c r="G18" s="33"/>
      <c r="H18" s="33"/>
      <c r="I18" s="33">
        <v>10</v>
      </c>
      <c r="J18" s="33">
        <v>0</v>
      </c>
      <c r="K18" s="33"/>
      <c r="L18" s="37">
        <f>J18*I18/100</f>
        <v>0</v>
      </c>
      <c r="M18" s="1"/>
      <c r="N18" s="41">
        <f>J18-L18</f>
        <v>0</v>
      </c>
    </row>
    <row r="19" spans="1:14" ht="15.75" x14ac:dyDescent="0.25">
      <c r="A19" s="32"/>
      <c r="B19" s="33"/>
      <c r="C19" s="33"/>
      <c r="D19" s="33"/>
      <c r="E19" s="33"/>
      <c r="F19" s="33"/>
      <c r="G19" s="33"/>
      <c r="H19" s="33"/>
      <c r="I19" s="33"/>
      <c r="J19" s="37"/>
      <c r="K19" s="33"/>
      <c r="L19" s="37"/>
      <c r="M19" s="1"/>
      <c r="N19" s="41"/>
    </row>
    <row r="20" spans="1:14" ht="15.75" x14ac:dyDescent="0.25">
      <c r="A20" s="32"/>
      <c r="B20" s="33"/>
      <c r="C20" s="33"/>
      <c r="D20" s="33"/>
      <c r="E20" s="33"/>
      <c r="F20" s="33"/>
      <c r="G20" s="33"/>
      <c r="H20" s="33"/>
      <c r="I20" s="33"/>
      <c r="J20" s="37"/>
      <c r="K20" s="33"/>
      <c r="L20" s="37"/>
      <c r="M20" s="1"/>
      <c r="N20" s="41"/>
    </row>
    <row r="21" spans="1:14" ht="15.75" x14ac:dyDescent="0.25">
      <c r="A21" s="32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7"/>
      <c r="M21" s="1"/>
      <c r="N21" s="41"/>
    </row>
    <row r="22" spans="1:14" ht="15.75" x14ac:dyDescent="0.25">
      <c r="A22" s="32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55"/>
      <c r="M22" s="1"/>
      <c r="N22" s="1"/>
    </row>
    <row r="23" spans="1:14" ht="16.5" thickBot="1" x14ac:dyDescent="0.3">
      <c r="A23" s="32"/>
      <c r="B23" s="33"/>
      <c r="C23" s="33"/>
      <c r="D23" s="33"/>
      <c r="E23" s="33"/>
      <c r="F23" s="33"/>
      <c r="G23" s="33"/>
      <c r="H23" s="33"/>
      <c r="I23" s="33"/>
      <c r="J23" s="56">
        <f>J16+J15+J17+J18+J19+J20+J21</f>
        <v>79380</v>
      </c>
      <c r="K23" s="56"/>
      <c r="L23" s="56">
        <f>L16+L15+L17+L18+L19+L20+L21</f>
        <v>8226</v>
      </c>
      <c r="M23" s="57"/>
      <c r="N23" s="56">
        <f>N16+N15+N17+N18+N19+N20+N21</f>
        <v>71154</v>
      </c>
    </row>
    <row r="24" spans="1:14" ht="16.5" thickTop="1" x14ac:dyDescent="0.25">
      <c r="A24" s="32"/>
      <c r="B24" s="33"/>
      <c r="C24" s="33"/>
      <c r="D24" s="33"/>
      <c r="E24" s="33"/>
      <c r="F24" s="32" t="s">
        <v>138</v>
      </c>
      <c r="G24" s="33"/>
      <c r="H24" s="33"/>
      <c r="I24" s="33"/>
      <c r="J24" s="33"/>
      <c r="K24" s="33"/>
      <c r="L24" s="37"/>
      <c r="M24" s="1"/>
      <c r="N24" s="1"/>
    </row>
    <row r="25" spans="1:14" ht="15.75" x14ac:dyDescent="0.25">
      <c r="A25" s="32" t="s">
        <v>139</v>
      </c>
      <c r="B25" s="33"/>
      <c r="C25" s="33"/>
      <c r="D25" s="33"/>
      <c r="E25" s="33"/>
      <c r="F25" s="33" t="s">
        <v>140</v>
      </c>
      <c r="G25" s="33"/>
      <c r="H25" s="33"/>
      <c r="I25" s="33"/>
      <c r="J25" s="33"/>
      <c r="K25" s="33"/>
      <c r="L25" s="37">
        <v>0</v>
      </c>
      <c r="M25" s="1"/>
      <c r="N25" s="41"/>
    </row>
    <row r="26" spans="1:14" ht="15.75" x14ac:dyDescent="0.25">
      <c r="A26" s="33" t="s">
        <v>141</v>
      </c>
      <c r="B26" s="33"/>
      <c r="C26" s="33"/>
      <c r="D26" s="33"/>
      <c r="E26" s="38">
        <v>0</v>
      </c>
      <c r="F26" s="72" t="s">
        <v>142</v>
      </c>
      <c r="G26" s="72"/>
      <c r="H26" s="72"/>
      <c r="I26" s="33"/>
      <c r="J26" s="33"/>
      <c r="K26" s="33"/>
      <c r="L26" s="38"/>
      <c r="M26" s="1"/>
      <c r="N26" s="1"/>
    </row>
    <row r="27" spans="1:14" ht="15.75" x14ac:dyDescent="0.25">
      <c r="A27" s="33" t="s">
        <v>143</v>
      </c>
      <c r="B27" s="33"/>
      <c r="C27" s="33"/>
      <c r="D27" s="33"/>
      <c r="E27" s="38">
        <v>0</v>
      </c>
      <c r="F27" s="33" t="s">
        <v>144</v>
      </c>
      <c r="G27" s="33"/>
      <c r="H27" s="33"/>
      <c r="I27" s="33"/>
      <c r="J27" s="33"/>
      <c r="K27" s="33"/>
      <c r="L27" s="38"/>
      <c r="M27" s="1"/>
      <c r="N27" s="1"/>
    </row>
    <row r="28" spans="1:14" ht="15.75" x14ac:dyDescent="0.25">
      <c r="A28" s="33" t="s">
        <v>145</v>
      </c>
      <c r="B28" s="33"/>
      <c r="C28" s="33"/>
      <c r="D28" s="33"/>
      <c r="E28" s="58"/>
      <c r="F28" s="73" t="s">
        <v>146</v>
      </c>
      <c r="G28" s="73"/>
      <c r="H28" s="73"/>
      <c r="I28" s="33"/>
      <c r="J28" s="33"/>
      <c r="K28" s="33"/>
      <c r="L28" s="38"/>
      <c r="M28" s="1"/>
      <c r="N28" s="41"/>
    </row>
    <row r="29" spans="1:14" ht="15.75" x14ac:dyDescent="0.25">
      <c r="A29" s="33" t="s">
        <v>147</v>
      </c>
      <c r="B29" s="33"/>
      <c r="C29" s="33"/>
      <c r="D29" s="33"/>
      <c r="E29" s="58"/>
      <c r="F29" s="72" t="s">
        <v>148</v>
      </c>
      <c r="G29" s="72"/>
      <c r="H29" s="72"/>
      <c r="I29" s="33"/>
      <c r="J29" s="33"/>
      <c r="K29" s="33"/>
      <c r="L29" s="38">
        <v>20000</v>
      </c>
      <c r="M29" s="1"/>
      <c r="N29" s="1"/>
    </row>
    <row r="30" spans="1:14" ht="15.75" x14ac:dyDescent="0.25">
      <c r="A30" s="33"/>
      <c r="B30" s="33"/>
      <c r="C30" s="33"/>
      <c r="D30" s="33"/>
      <c r="E30" s="58"/>
      <c r="F30" s="33" t="s">
        <v>149</v>
      </c>
      <c r="G30" s="33"/>
      <c r="H30" s="33"/>
      <c r="I30" s="33"/>
      <c r="J30" s="33"/>
      <c r="K30" s="33"/>
      <c r="L30" s="37">
        <v>58400</v>
      </c>
      <c r="M30" s="1"/>
      <c r="N30" s="1"/>
    </row>
    <row r="31" spans="1:14" ht="16.5" thickBot="1" x14ac:dyDescent="0.3">
      <c r="A31" s="33"/>
      <c r="B31" s="33"/>
      <c r="C31" s="33"/>
      <c r="D31" s="40"/>
      <c r="E31" s="59">
        <f>SUM(E18:E29)</f>
        <v>573045.68999999971</v>
      </c>
      <c r="F31" s="33"/>
      <c r="G31" s="33"/>
      <c r="H31" s="33"/>
      <c r="I31" s="33"/>
      <c r="J31" s="33"/>
      <c r="K31" s="33"/>
      <c r="L31" s="60">
        <f>SUM(N23,L25,L26,L27,L28,L29,L30)</f>
        <v>149554</v>
      </c>
      <c r="M31" s="1"/>
      <c r="N31" s="1"/>
    </row>
    <row r="32" spans="1:14" ht="15.75" x14ac:dyDescent="0.25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1"/>
      <c r="N32" s="1"/>
    </row>
    <row r="33" spans="1:19" ht="15.75" x14ac:dyDescent="0.25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40"/>
      <c r="M33" s="1"/>
      <c r="N33" s="1"/>
    </row>
    <row r="34" spans="1:19" ht="15.75" x14ac:dyDescent="0.25">
      <c r="A34" s="33"/>
      <c r="B34" s="33"/>
      <c r="C34" s="33"/>
      <c r="D34" s="33"/>
      <c r="E34" s="33"/>
      <c r="F34" s="29"/>
      <c r="G34" s="33"/>
      <c r="H34" s="33"/>
      <c r="I34" s="33"/>
      <c r="J34" s="33"/>
      <c r="K34" s="33"/>
      <c r="L34" s="33"/>
      <c r="M34" s="1"/>
      <c r="N34" s="1"/>
    </row>
    <row r="35" spans="1:19" ht="15.75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1"/>
      <c r="N35" s="1"/>
    </row>
    <row r="36" spans="1:19" ht="15.75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1"/>
      <c r="N36" s="1"/>
    </row>
    <row r="37" spans="1:19" ht="15.75" x14ac:dyDescent="0.25">
      <c r="A37" s="71" t="s">
        <v>150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33"/>
      <c r="N37" s="33"/>
      <c r="O37" s="33"/>
      <c r="P37" s="33"/>
      <c r="Q37" s="33"/>
      <c r="R37" s="33"/>
      <c r="S37" s="33"/>
    </row>
    <row r="38" spans="1:19" ht="15.75" x14ac:dyDescent="0.25">
      <c r="A38" s="71" t="s">
        <v>151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33"/>
      <c r="N38" s="33"/>
      <c r="O38" s="33"/>
      <c r="P38" s="33"/>
      <c r="Q38" s="33"/>
      <c r="R38" s="33"/>
      <c r="S38" s="33"/>
    </row>
    <row r="39" spans="1:19" ht="15.75" x14ac:dyDescent="0.25">
      <c r="A39" s="71" t="s">
        <v>152</v>
      </c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33"/>
      <c r="N39" s="33"/>
      <c r="O39" s="33"/>
      <c r="P39" s="33"/>
      <c r="Q39" s="33"/>
      <c r="R39" s="33"/>
      <c r="S39" s="33"/>
    </row>
    <row r="40" spans="1:19" ht="15.75" x14ac:dyDescent="0.25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1"/>
    </row>
    <row r="41" spans="1:19" ht="15.75" x14ac:dyDescent="0.25">
      <c r="A41" s="71" t="s">
        <v>153</v>
      </c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33"/>
      <c r="N41" s="33"/>
      <c r="O41" s="33"/>
      <c r="P41" s="33"/>
      <c r="Q41" s="33"/>
      <c r="R41" s="33"/>
      <c r="S41" s="33"/>
    </row>
    <row r="42" spans="1:19" ht="15.75" x14ac:dyDescent="0.25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1"/>
      <c r="N42" s="1"/>
    </row>
    <row r="43" spans="1:19" ht="15.75" x14ac:dyDescent="0.25">
      <c r="A43" s="33"/>
      <c r="B43" s="33"/>
      <c r="C43" s="33"/>
      <c r="D43" s="33"/>
      <c r="E43" s="33"/>
      <c r="F43" s="29"/>
      <c r="G43" s="33"/>
      <c r="H43" s="33"/>
      <c r="I43" s="33"/>
      <c r="J43" s="33"/>
      <c r="K43" s="33"/>
      <c r="L43" s="33"/>
      <c r="M43" s="1"/>
      <c r="N43" s="1"/>
    </row>
    <row r="44" spans="1:19" ht="15.75" x14ac:dyDescent="0.25">
      <c r="A44" s="70" t="str">
        <f>'MAKLUMAT ASAS'!C4</f>
        <v>NUR SHUHAIRULNADWA BINTI AHMAD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36"/>
      <c r="N44" s="36"/>
      <c r="O44" s="36"/>
      <c r="P44" s="36"/>
      <c r="Q44" s="36"/>
      <c r="R44" s="36"/>
      <c r="S44" s="36"/>
    </row>
    <row r="45" spans="1:19" ht="15.75" x14ac:dyDescent="0.2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1"/>
      <c r="N45" s="1"/>
    </row>
    <row r="46" spans="1:19" ht="15.75" x14ac:dyDescent="0.3">
      <c r="A46" s="61"/>
      <c r="B46" s="61"/>
      <c r="C46" s="61"/>
      <c r="D46" s="61"/>
      <c r="E46" s="61"/>
      <c r="F46" s="30"/>
      <c r="G46" s="61"/>
      <c r="H46" s="61"/>
      <c r="I46" s="61"/>
      <c r="J46" s="61"/>
      <c r="K46" s="61"/>
      <c r="L46" s="62"/>
    </row>
    <row r="47" spans="1:19" ht="15.75" x14ac:dyDescent="0.3">
      <c r="A47" s="30"/>
      <c r="B47" s="30"/>
      <c r="C47" s="30"/>
      <c r="D47" s="30"/>
      <c r="E47" s="30"/>
      <c r="G47" s="31"/>
      <c r="H47" s="31"/>
      <c r="I47" s="31"/>
      <c r="J47" s="31"/>
      <c r="K47" s="31"/>
      <c r="L47" s="30"/>
    </row>
  </sheetData>
  <mergeCells count="12">
    <mergeCell ref="A44:L44"/>
    <mergeCell ref="A1:L1"/>
    <mergeCell ref="A2:L2"/>
    <mergeCell ref="A3:L3"/>
    <mergeCell ref="A4:L4"/>
    <mergeCell ref="F26:H26"/>
    <mergeCell ref="F28:H28"/>
    <mergeCell ref="F29:H29"/>
    <mergeCell ref="A37:L37"/>
    <mergeCell ref="A38:L38"/>
    <mergeCell ref="A39:L39"/>
    <mergeCell ref="A41:L41"/>
  </mergeCells>
  <pageMargins left="0.70866141732283461" right="0.70866141732283461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MAKLUMAT ASAS</vt:lpstr>
      <vt:lpstr>LEJAR</vt:lpstr>
      <vt:lpstr>PNL</vt:lpstr>
      <vt:lpstr>KUNCI KIRA KIRA</vt:lpstr>
      <vt:lpstr>'KUNCI KIRA KIRA'!Print_Area</vt:lpstr>
      <vt:lpstr>LEJAR!Print_Area</vt:lpstr>
      <vt:lpstr>PNL!Print_Area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kpdocumentationservices@gmail.com</dc:creator>
  <cp:lastModifiedBy>kpdocumentationservices@gmail.com</cp:lastModifiedBy>
  <dcterms:created xsi:type="dcterms:W3CDTF">2025-08-27T04:59:36Z</dcterms:created>
  <dcterms:modified xsi:type="dcterms:W3CDTF">2025-09-22T09:58:17Z</dcterms:modified>
</cp:coreProperties>
</file>